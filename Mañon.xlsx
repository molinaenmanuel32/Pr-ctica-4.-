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c13488647faa17/Documentos/"/>
    </mc:Choice>
  </mc:AlternateContent>
  <xr:revisionPtr revIDLastSave="3631" documentId="8_{577AF33B-9F9F-49DA-AB1D-332E18A122BB}" xr6:coauthVersionLast="47" xr6:coauthVersionMax="47" xr10:uidLastSave="{2453222C-12AC-49A5-ACF7-04FB67CE75D2}"/>
  <bookViews>
    <workbookView xWindow="-108" yWindow="-108" windowWidth="23256" windowHeight="12456" xr2:uid="{4EFBB6BF-84C1-41AA-8212-184F7A3FD8EE}"/>
  </bookViews>
  <sheets>
    <sheet name="Factur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3" l="1"/>
  <c r="J63" i="3"/>
  <c r="J64" i="3"/>
  <c r="L65" i="3"/>
  <c r="N65" i="3"/>
  <c r="G64" i="3"/>
  <c r="G63" i="3"/>
  <c r="H29" i="3"/>
  <c r="K13" i="3"/>
  <c r="K12" i="3"/>
  <c r="M20" i="3"/>
  <c r="K10" i="3"/>
  <c r="M10" i="3"/>
  <c r="L10" i="3"/>
  <c r="G68" i="3"/>
  <c r="B68" i="3"/>
  <c r="F67" i="3"/>
  <c r="F68" i="3"/>
  <c r="G67" i="3"/>
  <c r="J13" i="3"/>
  <c r="B67" i="3"/>
  <c r="J12" i="3"/>
  <c r="J10" i="3"/>
  <c r="J8" i="3"/>
  <c r="C66" i="3"/>
  <c r="G65" i="3"/>
  <c r="F65" i="3"/>
  <c r="E65" i="3"/>
  <c r="B66" i="3"/>
  <c r="D65" i="3"/>
  <c r="B65" i="3"/>
  <c r="B64" i="3"/>
  <c r="B62" i="3"/>
  <c r="B63" i="3"/>
  <c r="B69" i="3"/>
  <c r="F16" i="3"/>
  <c r="J34" i="3" l="1"/>
  <c r="O34" i="3" s="1"/>
  <c r="N49" i="3"/>
  <c r="J36" i="3" l="1"/>
  <c r="O36" i="3" s="1"/>
  <c r="N4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<sst xmlns="http://schemas.openxmlformats.org/spreadsheetml/2006/main" count="69" uniqueCount="69">
  <si>
    <t>RNC: 1-01-82021-07</t>
  </si>
  <si>
    <t xml:space="preserve">Oficina: LAS AMERICAS </t>
  </si>
  <si>
    <t>AVDA VENEZUELA, 18</t>
  </si>
  <si>
    <t>TITULAR DEL CONTRATO</t>
  </si>
  <si>
    <t>BELEN, EROTIDA</t>
  </si>
  <si>
    <t>DIRECCION DEL SUMINSITRO</t>
  </si>
  <si>
    <t xml:space="preserve">Empresa distribuidora de Electricidad del Este,S.A   </t>
  </si>
  <si>
    <t>REFERENCIA DE PAGO:</t>
  </si>
  <si>
    <t>FECHA DE EMISION:</t>
  </si>
  <si>
    <t xml:space="preserve">FECHA LIMITE DE PAGO :   </t>
  </si>
  <si>
    <t xml:space="preserve">MZNA E    </t>
  </si>
  <si>
    <r>
      <t>DIRECCIÓN:</t>
    </r>
    <r>
      <rPr>
        <sz val="11"/>
        <color rgb="FF000000"/>
        <rFont val="Calibri Light"/>
        <family val="2"/>
      </rPr>
      <t xml:space="preserve"> E</t>
    </r>
  </si>
  <si>
    <r>
      <t>CONDICIÓN FISCAL:</t>
    </r>
    <r>
      <rPr>
        <sz val="11"/>
        <color rgb="FF000000"/>
        <rFont val="Calibri Light"/>
        <family val="2"/>
      </rPr>
      <t xml:space="preserve">                               </t>
    </r>
  </si>
  <si>
    <t xml:space="preserve"> Factura de Consumo</t>
  </si>
  <si>
    <r>
      <t xml:space="preserve">NCF:                                                                                  </t>
    </r>
    <r>
      <rPr>
        <sz val="11"/>
        <color rgb="FF000000"/>
        <rFont val="Calibri Light"/>
        <family val="2"/>
      </rPr>
      <t xml:space="preserve"> </t>
    </r>
  </si>
  <si>
    <r>
      <t>FECHA VENCIMIENTO NCF:</t>
    </r>
    <r>
      <rPr>
        <sz val="11"/>
        <color rgb="FF000000"/>
        <rFont val="Calibri Light"/>
        <family val="2"/>
      </rPr>
      <t xml:space="preserve">                                </t>
    </r>
  </si>
  <si>
    <r>
      <t>Municipio.:</t>
    </r>
    <r>
      <rPr>
        <sz val="11"/>
        <color rgb="FF000000"/>
        <rFont val="Calibri Light"/>
        <family val="2"/>
      </rPr>
      <t xml:space="preserve"> SANTO DOMINGO ESTE</t>
    </r>
  </si>
  <si>
    <r>
      <t>Provincia.:</t>
    </r>
    <r>
      <rPr>
        <sz val="11"/>
        <color rgb="FF000000"/>
        <rFont val="Calibri Light"/>
        <family val="2"/>
      </rPr>
      <t xml:space="preserve"> SANTO DOMINGO</t>
    </r>
  </si>
  <si>
    <t>MANZ E EDIF 5 402-</t>
  </si>
  <si>
    <r>
      <t>Sección.:</t>
    </r>
    <r>
      <rPr>
        <sz val="11"/>
        <color rgb="FF000000"/>
        <rFont val="Calibri Light"/>
        <family val="2"/>
      </rPr>
      <t xml:space="preserve"> ZONA URBANA/SANTO DOMINGO      </t>
    </r>
  </si>
  <si>
    <t>NIC</t>
  </si>
  <si>
    <r>
      <rPr>
        <b/>
        <sz val="11"/>
        <color theme="1"/>
        <rFont val="Calibri Light"/>
        <family val="2"/>
      </rPr>
      <t>Circuito:</t>
    </r>
    <r>
      <rPr>
        <sz val="11"/>
        <color theme="1"/>
        <rFont val="Calibri Light"/>
        <family val="2"/>
      </rPr>
      <t xml:space="preserve">  DESP02</t>
    </r>
  </si>
  <si>
    <t>DATOS DEL CONTRATO</t>
  </si>
  <si>
    <t xml:space="preserve">TARIFA:                                  </t>
  </si>
  <si>
    <t>BTS1</t>
  </si>
  <si>
    <t xml:space="preserve">VOLTAJE:                                          </t>
  </si>
  <si>
    <t xml:space="preserve">Baja 120/240 doble monofacia </t>
  </si>
  <si>
    <t>620. kw</t>
  </si>
  <si>
    <t>PERIODO DE FACTORACION</t>
  </si>
  <si>
    <t>08/12/2020  - 08/01/2021 = 31 Dias</t>
  </si>
  <si>
    <t>Tipo de Lectura</t>
  </si>
  <si>
    <t>Lectura Anterior</t>
  </si>
  <si>
    <t>Multiplo</t>
  </si>
  <si>
    <t>Consumo</t>
  </si>
  <si>
    <t>CALCULO DE LA FACTURA</t>
  </si>
  <si>
    <t>Cargo Fijo</t>
  </si>
  <si>
    <t xml:space="preserve">Energia </t>
  </si>
  <si>
    <t>Mes</t>
  </si>
  <si>
    <t>Csmo.</t>
  </si>
  <si>
    <t>Pot</t>
  </si>
  <si>
    <t>Año de la Consolidacion de la Seguridad Alimentaria.</t>
  </si>
  <si>
    <t xml:space="preserve">          POTENCIA CONTRATADA                                                    </t>
  </si>
  <si>
    <t>Activa B.T</t>
  </si>
  <si>
    <t xml:space="preserve">  NOTIFICACIONES:</t>
  </si>
  <si>
    <t>No. de            Contador</t>
  </si>
  <si>
    <t>Lectura        Actual</t>
  </si>
  <si>
    <t>EDEESTE</t>
  </si>
  <si>
    <t xml:space="preserve">    IMPORTE TOTAL EN  RD$                 </t>
  </si>
  <si>
    <r>
      <rPr>
        <b/>
        <sz val="11"/>
        <color theme="1"/>
        <rFont val="Calibri Light"/>
        <family val="2"/>
      </rPr>
      <t>LOC.:</t>
    </r>
    <r>
      <rPr>
        <sz val="11"/>
        <color theme="1"/>
        <rFont val="Calibri Light"/>
        <family val="2"/>
      </rPr>
      <t xml:space="preserve">  </t>
    </r>
  </si>
  <si>
    <t>PARQUE DEL ESTE</t>
  </si>
  <si>
    <t>REF.:</t>
  </si>
  <si>
    <t xml:space="preserve"> ENTERE CALLE CUARTA Y PADRE MA</t>
  </si>
  <si>
    <t>NO.:</t>
  </si>
  <si>
    <t>5/E</t>
  </si>
  <si>
    <t>Piso/Depto:</t>
  </si>
  <si>
    <t>4AP402</t>
  </si>
  <si>
    <t>FINCA EDIP (PB)</t>
  </si>
  <si>
    <t>Ruta:</t>
  </si>
  <si>
    <t>Poste:</t>
  </si>
  <si>
    <r>
      <rPr>
        <b/>
        <sz val="11"/>
        <color theme="1"/>
        <rFont val="Calibri Light"/>
        <family val="2"/>
      </rPr>
      <t xml:space="preserve"> </t>
    </r>
    <r>
      <rPr>
        <sz val="11"/>
        <color theme="1"/>
        <rFont val="Calibri Light"/>
        <family val="2"/>
      </rPr>
      <t>07QJ-5318</t>
    </r>
    <r>
      <rPr>
        <sz val="11"/>
        <color theme="1"/>
        <rFont val="Aptos Narrow"/>
        <family val="2"/>
        <scheme val="minor"/>
      </rPr>
      <t/>
    </r>
  </si>
  <si>
    <t>Itner:</t>
  </si>
  <si>
    <r>
      <rPr>
        <b/>
        <sz val="11"/>
        <color theme="1"/>
        <rFont val="Calibri Light"/>
        <family val="2"/>
      </rPr>
      <t>No. Medidor:</t>
    </r>
    <r>
      <rPr>
        <sz val="11"/>
        <color theme="1"/>
        <rFont val="Calibri Light"/>
        <family val="2"/>
      </rPr>
      <t xml:space="preserve"> 0783431</t>
    </r>
  </si>
  <si>
    <t>B0222110144</t>
  </si>
  <si>
    <t>31 dias, RD$ 137.25</t>
  </si>
  <si>
    <t xml:space="preserve"> kWh</t>
  </si>
  <si>
    <t xml:space="preserve"> X RD$</t>
  </si>
  <si>
    <t xml:space="preserve">kWh </t>
  </si>
  <si>
    <t>X RD$</t>
  </si>
  <si>
    <t xml:space="preserve">     FECHA LIMITE DE PAGO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</si>
</sst>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mm/dd/yy;@"/>
    <numFmt numFmtId="166" formatCode="dd/mm/yyyy"/>
    <numFmt numFmtId="167" formatCode="_([$$-1C0A]* #,##0_);_([$$-1C0A]* \(#,##0\);_([$$-1C0A]* &quot;-&quot;??_);_(@_)"/>
    <numFmt numFmtId="170" formatCode="mm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16"/>
      <color theme="1"/>
      <name val="Calibri Light"/>
      <family val="2"/>
    </font>
    <font>
      <b/>
      <sz val="20"/>
      <color theme="1"/>
      <name val="Calibri Light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  <font>
      <sz val="8"/>
      <name val="Aptos Narrow"/>
      <family val="2"/>
      <scheme val="minor"/>
    </font>
    <font>
      <b/>
      <sz val="18"/>
      <color theme="1"/>
      <name val="Calibri Light"/>
      <family val="2"/>
    </font>
    <font>
      <b/>
      <sz val="19"/>
      <color rgb="FF002060"/>
      <name val="Calibri Light"/>
      <family val="2"/>
    </font>
    <font>
      <b/>
      <sz val="11"/>
      <color theme="1"/>
      <name val="Aptos Narrow"/>
      <family val="2"/>
      <scheme val="minor"/>
    </font>
    <font>
      <sz val="22"/>
      <color theme="1"/>
      <name val="Free 3 of 9"/>
      <family val="3"/>
    </font>
    <font>
      <b/>
      <sz val="14"/>
      <color theme="1"/>
      <name val="Calibri Light"/>
      <family val="2"/>
    </font>
    <font>
      <b/>
      <sz val="14"/>
      <color rgb="FF000000"/>
      <name val="Calibri Light"/>
      <family val="2"/>
    </font>
    <font>
      <sz val="28"/>
      <color theme="1"/>
      <name val="Free 3 of 9"/>
      <family val="3"/>
    </font>
    <font>
      <sz val="36"/>
      <color theme="1"/>
      <name val="Free 3 of 9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8C1E8"/>
        <bgColor indexed="64"/>
      </patternFill>
    </fill>
    <fill>
      <patternFill patternType="solid">
        <fgColor rgb="FFFFDD0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1" fillId="3" borderId="2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3" borderId="0" xfId="0" applyFont="1" applyFill="1" applyAlignment="1">
      <alignment horizontal="right"/>
    </xf>
    <xf numFmtId="0" fontId="7" fillId="3" borderId="8" xfId="0" applyFont="1" applyFill="1" applyBorder="1"/>
    <xf numFmtId="0" fontId="1" fillId="3" borderId="7" xfId="0" applyFont="1" applyFill="1" applyBorder="1"/>
    <xf numFmtId="0" fontId="1" fillId="3" borderId="0" xfId="0" applyFont="1" applyFill="1" applyAlignment="1">
      <alignment horizontal="left" indent="6"/>
    </xf>
    <xf numFmtId="0" fontId="1" fillId="3" borderId="0" xfId="0" applyFont="1" applyFill="1" applyAlignment="1">
      <alignment horizontal="left" indent="4"/>
    </xf>
    <xf numFmtId="0" fontId="1" fillId="2" borderId="5" xfId="0" applyFont="1" applyFill="1" applyBorder="1"/>
    <xf numFmtId="0" fontId="2" fillId="3" borderId="0" xfId="0" applyFont="1" applyFill="1"/>
    <xf numFmtId="0" fontId="9" fillId="3" borderId="0" xfId="0" applyFont="1" applyFill="1"/>
    <xf numFmtId="0" fontId="10" fillId="3" borderId="0" xfId="0" applyFont="1" applyFill="1" applyAlignment="1">
      <alignment horizontal="left" indent="4"/>
    </xf>
    <xf numFmtId="0" fontId="9" fillId="3" borderId="13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wrapText="1"/>
    </xf>
    <xf numFmtId="0" fontId="3" fillId="3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1" fillId="4" borderId="7" xfId="0" applyFont="1" applyFill="1" applyBorder="1"/>
    <xf numFmtId="0" fontId="1" fillId="4" borderId="18" xfId="0" applyFont="1" applyFill="1" applyBorder="1"/>
    <xf numFmtId="0" fontId="1" fillId="4" borderId="0" xfId="0" applyFont="1" applyFill="1"/>
    <xf numFmtId="0" fontId="1" fillId="4" borderId="11" xfId="0" applyFont="1" applyFill="1" applyBorder="1"/>
    <xf numFmtId="0" fontId="1" fillId="4" borderId="10" xfId="0" applyFont="1" applyFill="1" applyBorder="1"/>
    <xf numFmtId="0" fontId="1" fillId="4" borderId="5" xfId="0" applyFont="1" applyFill="1" applyBorder="1"/>
    <xf numFmtId="0" fontId="1" fillId="4" borderId="12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4" borderId="6" xfId="0" applyFont="1" applyFill="1" applyBorder="1" applyAlignment="1">
      <alignment horizontal="left" indent="3"/>
    </xf>
    <xf numFmtId="0" fontId="2" fillId="4" borderId="8" xfId="0" applyFont="1" applyFill="1" applyBorder="1" applyAlignment="1">
      <alignment horizontal="left" indent="4"/>
    </xf>
    <xf numFmtId="14" fontId="1" fillId="3" borderId="0" xfId="0" applyNumberFormat="1" applyFont="1" applyFill="1" applyAlignment="1">
      <alignment horizontal="left" indent="8"/>
    </xf>
    <xf numFmtId="0" fontId="2" fillId="2" borderId="0" xfId="0" applyFont="1" applyFill="1"/>
    <xf numFmtId="0" fontId="1" fillId="2" borderId="22" xfId="0" applyFont="1" applyFill="1" applyBorder="1"/>
    <xf numFmtId="0" fontId="1" fillId="2" borderId="11" xfId="0" applyFont="1" applyFill="1" applyBorder="1"/>
    <xf numFmtId="14" fontId="1" fillId="2" borderId="0" xfId="0" applyNumberFormat="1" applyFont="1" applyFill="1" applyAlignment="1">
      <alignment horizontal="center"/>
    </xf>
    <xf numFmtId="0" fontId="2" fillId="2" borderId="15" xfId="0" applyFont="1" applyFill="1" applyBorder="1"/>
    <xf numFmtId="0" fontId="1" fillId="2" borderId="23" xfId="0" applyFont="1" applyFill="1" applyBorder="1"/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/>
    <xf numFmtId="0" fontId="0" fillId="3" borderId="0" xfId="0" applyFill="1"/>
    <xf numFmtId="0" fontId="8" fillId="2" borderId="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/>
    </xf>
    <xf numFmtId="0" fontId="1" fillId="4" borderId="23" xfId="0" applyFont="1" applyFill="1" applyBorder="1"/>
    <xf numFmtId="0" fontId="2" fillId="3" borderId="0" xfId="0" applyFont="1" applyFill="1" applyAlignment="1">
      <alignment horizontal="left"/>
    </xf>
    <xf numFmtId="0" fontId="2" fillId="3" borderId="7" xfId="0" applyFont="1" applyFill="1" applyBorder="1"/>
    <xf numFmtId="0" fontId="7" fillId="4" borderId="1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indent="5"/>
    </xf>
    <xf numFmtId="166" fontId="1" fillId="3" borderId="0" xfId="0" applyNumberFormat="1" applyFont="1" applyFill="1" applyAlignment="1">
      <alignment horizontal="left" indent="8"/>
    </xf>
    <xf numFmtId="166" fontId="12" fillId="4" borderId="0" xfId="0" applyNumberFormat="1" applyFont="1" applyFill="1"/>
    <xf numFmtId="0" fontId="1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1" fillId="3" borderId="0" xfId="0" applyFont="1" applyFill="1" applyAlignment="1">
      <alignment horizontal="right" indent="5"/>
    </xf>
    <xf numFmtId="0" fontId="1" fillId="3" borderId="0" xfId="0" applyFont="1" applyFill="1" applyAlignment="1">
      <alignment horizontal="right" indent="6"/>
    </xf>
    <xf numFmtId="0" fontId="2" fillId="3" borderId="0" xfId="0" applyFont="1" applyFill="1" applyAlignment="1">
      <alignment horizontal="right"/>
    </xf>
    <xf numFmtId="0" fontId="13" fillId="2" borderId="1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indent="1"/>
    </xf>
    <xf numFmtId="0" fontId="2" fillId="3" borderId="3" xfId="0" applyFont="1" applyFill="1" applyBorder="1" applyAlignment="1">
      <alignment horizontal="left" indent="1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inden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3"/>
    </xf>
    <xf numFmtId="0" fontId="3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0" borderId="8" xfId="0" applyFont="1" applyBorder="1"/>
    <xf numFmtId="0" fontId="7" fillId="3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8" fillId="2" borderId="5" xfId="0" applyFont="1" applyFill="1" applyBorder="1"/>
    <xf numFmtId="0" fontId="8" fillId="3" borderId="0" xfId="0" applyFont="1" applyFill="1"/>
    <xf numFmtId="0" fontId="2" fillId="3" borderId="8" xfId="0" applyFont="1" applyFill="1" applyBorder="1"/>
    <xf numFmtId="44" fontId="2" fillId="2" borderId="0" xfId="1" applyFont="1" applyFill="1" applyBorder="1" applyAlignment="1">
      <alignment horizontal="left"/>
    </xf>
    <xf numFmtId="167" fontId="2" fillId="2" borderId="0" xfId="1" applyNumberFormat="1" applyFont="1" applyFill="1" applyBorder="1" applyAlignment="1">
      <alignment horizontal="left"/>
    </xf>
    <xf numFmtId="0" fontId="7" fillId="2" borderId="8" xfId="0" applyFont="1" applyFill="1" applyBorder="1"/>
    <xf numFmtId="0" fontId="7" fillId="2" borderId="8" xfId="0" applyFont="1" applyFill="1" applyBorder="1" applyAlignment="1">
      <alignment vertical="center"/>
    </xf>
    <xf numFmtId="0" fontId="8" fillId="2" borderId="10" xfId="0" applyFont="1" applyFill="1" applyBorder="1"/>
    <xf numFmtId="0" fontId="2" fillId="2" borderId="15" xfId="0" applyFont="1" applyFill="1" applyBorder="1" applyAlignment="1">
      <alignment horizontal="left"/>
    </xf>
    <xf numFmtId="0" fontId="2" fillId="2" borderId="0" xfId="0" applyFont="1" applyFill="1" applyAlignment="1">
      <alignment horizontal="right" indent="2"/>
    </xf>
    <xf numFmtId="0" fontId="2" fillId="2" borderId="0" xfId="0" applyFont="1" applyFill="1" applyAlignment="1">
      <alignment horizontal="left" indent="13"/>
    </xf>
    <xf numFmtId="0" fontId="2" fillId="2" borderId="0" xfId="0" applyFont="1" applyFill="1" applyAlignment="1">
      <alignment horizontal="left" indent="14"/>
    </xf>
    <xf numFmtId="0" fontId="1" fillId="2" borderId="0" xfId="0" applyFont="1" applyFill="1" applyAlignment="1">
      <alignment horizontal="left" indent="4"/>
    </xf>
    <xf numFmtId="0" fontId="8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indent="9"/>
    </xf>
    <xf numFmtId="0" fontId="2" fillId="2" borderId="8" xfId="0" applyFont="1" applyFill="1" applyBorder="1" applyAlignment="1">
      <alignment horizontal="left" indent="3"/>
    </xf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4" fillId="2" borderId="15" xfId="0" applyFont="1" applyFill="1" applyBorder="1" applyAlignment="1">
      <alignment horizontal="center" vertical="center"/>
    </xf>
    <xf numFmtId="44" fontId="2" fillId="2" borderId="8" xfId="1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67" fontId="2" fillId="2" borderId="8" xfId="1" applyNumberFormat="1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2" fontId="12" fillId="2" borderId="9" xfId="0" applyNumberFormat="1" applyFont="1" applyFill="1" applyBorder="1" applyAlignment="1">
      <alignment horizontal="center" vertical="center"/>
    </xf>
    <xf numFmtId="166" fontId="12" fillId="2" borderId="0" xfId="0" applyNumberFormat="1" applyFont="1" applyFill="1" applyAlignment="1">
      <alignment horizontal="right" vertical="center" indent="12"/>
    </xf>
    <xf numFmtId="0" fontId="1" fillId="2" borderId="0" xfId="0" applyFont="1" applyFill="1" applyAlignment="1">
      <alignment horizontal="right"/>
    </xf>
    <xf numFmtId="0" fontId="14" fillId="3" borderId="0" xfId="0" applyFont="1" applyFill="1" applyAlignment="1">
      <alignment horizontal="left" indent="13"/>
    </xf>
    <xf numFmtId="0" fontId="16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2" fontId="16" fillId="4" borderId="0" xfId="0" applyNumberFormat="1" applyFont="1" applyFill="1" applyAlignment="1">
      <alignment horizontal="center" vertical="center"/>
    </xf>
    <xf numFmtId="166" fontId="16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indent="3"/>
    </xf>
    <xf numFmtId="164" fontId="2" fillId="2" borderId="8" xfId="1" applyNumberFormat="1" applyFont="1" applyFill="1" applyBorder="1" applyAlignment="1">
      <alignment horizontal="left" indent="3"/>
    </xf>
    <xf numFmtId="164" fontId="2" fillId="2" borderId="0" xfId="1" applyNumberFormat="1" applyFont="1" applyFill="1" applyBorder="1" applyAlignment="1">
      <alignment horizontal="left" indent="3"/>
    </xf>
    <xf numFmtId="0" fontId="17" fillId="4" borderId="0" xfId="0" applyFont="1" applyFill="1" applyAlignment="1">
      <alignment horizontal="left" vertical="center"/>
    </xf>
    <xf numFmtId="0" fontId="3" fillId="3" borderId="1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 indent="4"/>
    </xf>
    <xf numFmtId="0" fontId="7" fillId="3" borderId="6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3" borderId="0" xfId="0" applyFont="1" applyFill="1"/>
    <xf numFmtId="0" fontId="1" fillId="2" borderId="0" xfId="0" applyFont="1" applyFill="1" applyAlignment="1">
      <alignment horizontal="left" vertical="center" indent="3"/>
    </xf>
    <xf numFmtId="0" fontId="1" fillId="2" borderId="5" xfId="0" applyFont="1" applyFill="1" applyBorder="1" applyAlignment="1">
      <alignment horizontal="left" vertical="center" indent="3"/>
    </xf>
    <xf numFmtId="0" fontId="1" fillId="4" borderId="0" xfId="0" applyFont="1" applyFill="1"/>
    <xf numFmtId="0" fontId="12" fillId="4" borderId="0" xfId="0" applyFont="1" applyFill="1" applyAlignment="1">
      <alignment horizontal="left" vertical="center" indent="7"/>
    </xf>
    <xf numFmtId="0" fontId="1" fillId="0" borderId="0" xfId="0" applyFont="1" applyAlignment="1">
      <alignment horizontal="right"/>
    </xf>
    <xf numFmtId="0" fontId="19" fillId="4" borderId="0" xfId="0" applyFont="1" applyFill="1" applyAlignment="1">
      <alignment horizontal="right" vertical="center"/>
    </xf>
    <xf numFmtId="164" fontId="2" fillId="2" borderId="8" xfId="0" applyNumberFormat="1" applyFont="1" applyFill="1" applyBorder="1" applyAlignment="1">
      <alignment horizontal="left" indent="3"/>
    </xf>
    <xf numFmtId="170" fontId="1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left" indent="8"/>
    </xf>
    <xf numFmtId="2" fontId="4" fillId="2" borderId="1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2" fontId="4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indent="10"/>
    </xf>
    <xf numFmtId="0" fontId="2" fillId="2" borderId="0" xfId="0" applyFont="1" applyFill="1" applyAlignment="1">
      <alignment horizontal="left" indent="10"/>
    </xf>
    <xf numFmtId="0" fontId="1" fillId="2" borderId="0" xfId="0" applyFont="1" applyFill="1" applyAlignment="1">
      <alignment horizontal="left" indent="4"/>
    </xf>
    <xf numFmtId="166" fontId="1" fillId="2" borderId="0" xfId="0" applyNumberFormat="1" applyFont="1" applyFill="1" applyAlignment="1">
      <alignment horizontal="left" indent="6"/>
    </xf>
    <xf numFmtId="0" fontId="18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8C1E8"/>
      <color rgb="FFFFDD00"/>
      <color rgb="FFFFE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HISTORICO</a:t>
            </a:r>
            <a:r>
              <a:rPr lang="en-US" b="1" baseline="0">
                <a:solidFill>
                  <a:schemeClr val="tx1"/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 DE CONSUMO</a:t>
            </a:r>
            <a:endParaRPr lang="en-US" b="1">
              <a:solidFill>
                <a:schemeClr val="tx1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806774153230851E-2"/>
          <c:y val="0.19615898361935349"/>
          <c:w val="0.87527259092613419"/>
          <c:h val="0.591228569678331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>
                  <a:alpha val="92000"/>
                </a:schemeClr>
              </a:solidFill>
            </a:ln>
            <a:effectLst/>
          </c:spPr>
          <c:invertIfNegative val="0"/>
          <c:cat>
            <c:numRef>
              <c:f>Factura!$B$41:$B$53</c:f>
              <c:numCache>
                <c:formatCode>mm/yyyy</c:formatCode>
                <c:ptCount val="1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</c:numCache>
            </c:numRef>
          </c:cat>
          <c:val>
            <c:numRef>
              <c:f>Factura!$C$41:$C$53</c:f>
              <c:numCache>
                <c:formatCode>General</c:formatCode>
                <c:ptCount val="13"/>
                <c:pt idx="0">
                  <c:v>244</c:v>
                </c:pt>
                <c:pt idx="1">
                  <c:v>219</c:v>
                </c:pt>
                <c:pt idx="2">
                  <c:v>165</c:v>
                </c:pt>
                <c:pt idx="3">
                  <c:v>255</c:v>
                </c:pt>
                <c:pt idx="4">
                  <c:v>273</c:v>
                </c:pt>
                <c:pt idx="5">
                  <c:v>259</c:v>
                </c:pt>
                <c:pt idx="6">
                  <c:v>320</c:v>
                </c:pt>
                <c:pt idx="7">
                  <c:v>360</c:v>
                </c:pt>
                <c:pt idx="8">
                  <c:v>371</c:v>
                </c:pt>
                <c:pt idx="9">
                  <c:v>346</c:v>
                </c:pt>
                <c:pt idx="10">
                  <c:v>304</c:v>
                </c:pt>
                <c:pt idx="11">
                  <c:v>273</c:v>
                </c:pt>
                <c:pt idx="1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8-4BE5-AEB7-C24C59B15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9"/>
        <c:axId val="15104160"/>
        <c:axId val="15105600"/>
      </c:barChart>
      <c:dateAx>
        <c:axId val="1510416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5600"/>
        <c:crosses val="autoZero"/>
        <c:auto val="1"/>
        <c:lblOffset val="100"/>
        <c:baseTimeUnit val="months"/>
      </c:dateAx>
      <c:valAx>
        <c:axId val="15105600"/>
        <c:scaling>
          <c:orientation val="minMax"/>
          <c:max val="371"/>
          <c:min val="92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solidFill>
            <a:srgbClr val="98C1E8"/>
          </a:solidFill>
          <a:ln w="38100"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n-US"/>
          </a:p>
        </c:txPr>
        <c:crossAx val="15104160"/>
        <c:crosses val="autoZero"/>
        <c:crossBetween val="between"/>
        <c:majorUnit val="93"/>
        <c:minorUnit val="18.399999999999999"/>
      </c:valAx>
      <c:spPr>
        <a:solidFill>
          <a:srgbClr val="98C1E8"/>
        </a:solidFill>
        <a:ln w="25400">
          <a:noFill/>
        </a:ln>
        <a:effectLst>
          <a:outerShdw dist="12700" dir="8400000" algn="ctr" rotWithShape="0">
            <a:srgbClr val="000000"/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8C1E8"/>
    </a:solidFill>
    <a:ln w="9525" cap="flat" cmpd="sng" algn="ctr">
      <a:solidFill>
        <a:srgbClr val="98C1E8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38</xdr:row>
      <xdr:rowOff>175172</xdr:rowOff>
    </xdr:from>
    <xdr:to>
      <xdr:col>7</xdr:col>
      <xdr:colOff>781050</xdr:colOff>
      <xdr:row>53</xdr:row>
      <xdr:rowOff>766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D82B6C1-A396-5E7B-90BC-BADA9EADB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535305</xdr:colOff>
      <xdr:row>39</xdr:row>
      <xdr:rowOff>118110</xdr:rowOff>
    </xdr:from>
    <xdr:to>
      <xdr:col>5</xdr:col>
      <xdr:colOff>6093</xdr:colOff>
      <xdr:row>40</xdr:row>
      <xdr:rowOff>141431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D12286E-0DE2-469E-8890-E45EC19DF2E6}"/>
            </a:ext>
          </a:extLst>
        </xdr:cNvPr>
        <xdr:cNvSpPr txBox="1"/>
      </xdr:nvSpPr>
      <xdr:spPr>
        <a:xfrm>
          <a:off x="3326130" y="8385810"/>
          <a:ext cx="794763" cy="204296"/>
        </a:xfrm>
        <a:prstGeom prst="rect">
          <a:avLst/>
        </a:prstGeom>
        <a:solidFill>
          <a:srgbClr val="98C1E8"/>
        </a:solidFill>
        <a:ln w="9525" cmpd="sng">
          <a:solidFill>
            <a:srgbClr val="98C1E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kWh</a:t>
          </a:r>
          <a:endParaRPr lang="en-US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1087755</xdr:colOff>
      <xdr:row>51</xdr:row>
      <xdr:rowOff>64770</xdr:rowOff>
    </xdr:from>
    <xdr:to>
      <xdr:col>6</xdr:col>
      <xdr:colOff>340897</xdr:colOff>
      <xdr:row>52</xdr:row>
      <xdr:rowOff>80471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BB9EB98-46FA-4483-A56C-79E85E052219}"/>
            </a:ext>
          </a:extLst>
        </xdr:cNvPr>
        <xdr:cNvSpPr txBox="1"/>
      </xdr:nvSpPr>
      <xdr:spPr>
        <a:xfrm>
          <a:off x="5202555" y="10504170"/>
          <a:ext cx="605692" cy="206201"/>
        </a:xfrm>
        <a:prstGeom prst="rect">
          <a:avLst/>
        </a:prstGeom>
        <a:solidFill>
          <a:srgbClr val="98C1E8"/>
        </a:solidFill>
        <a:ln w="9525" cmpd="sng">
          <a:solidFill>
            <a:srgbClr val="98C1E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MES</a:t>
          </a:r>
          <a:endParaRPr lang="en-US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C270-2E81-44E2-B979-DC6A93576DCF}">
  <dimension ref="A1:Q73"/>
  <sheetViews>
    <sheetView tabSelected="1" topLeftCell="A18" zoomScale="69" zoomScaleNormal="63" workbookViewId="0">
      <selection activeCell="J75" sqref="J75"/>
    </sheetView>
  </sheetViews>
  <sheetFormatPr baseColWidth="10" defaultRowHeight="14.4" x14ac:dyDescent="0.3"/>
  <cols>
    <col min="1" max="2" width="11.5546875" customWidth="1"/>
    <col min="3" max="3" width="10.44140625" customWidth="1"/>
    <col min="4" max="4" width="9.5546875" customWidth="1"/>
    <col min="5" max="5" width="9.77734375" customWidth="1"/>
    <col min="6" max="6" width="19.6640625" customWidth="1"/>
    <col min="7" max="7" width="13.88671875" customWidth="1"/>
    <col min="8" max="8" width="17.5546875" customWidth="1"/>
    <col min="9" max="9" width="3.33203125" customWidth="1"/>
    <col min="10" max="10" width="14.77734375" customWidth="1"/>
    <col min="11" max="11" width="7.109375" customWidth="1"/>
    <col min="12" max="12" width="7.6640625" customWidth="1"/>
    <col min="13" max="13" width="21.6640625" customWidth="1"/>
    <col min="14" max="14" width="19.88671875" customWidth="1"/>
    <col min="15" max="15" width="11.77734375" customWidth="1"/>
    <col min="16" max="16" width="8.77734375" customWidth="1"/>
  </cols>
  <sheetData>
    <row r="1" spans="1:17" ht="88.2" customHeight="1" x14ac:dyDescent="0.3">
      <c r="A1" s="2"/>
      <c r="B1" s="123" t="e" vm="1">
        <v>#VALUE!</v>
      </c>
      <c r="C1" s="123"/>
      <c r="D1" s="123"/>
      <c r="E1" s="123"/>
      <c r="F1" s="2"/>
      <c r="G1" s="4"/>
      <c r="H1" s="2"/>
      <c r="I1" s="2"/>
      <c r="J1" s="138" t="e" vm="2">
        <v>#VALUE!</v>
      </c>
      <c r="K1" s="138"/>
      <c r="L1" s="138"/>
      <c r="M1" s="138"/>
      <c r="N1" s="138"/>
      <c r="O1" s="138"/>
      <c r="P1" s="114"/>
      <c r="Q1" s="1"/>
    </row>
    <row r="2" spans="1:17" x14ac:dyDescent="0.3">
      <c r="A2" s="2"/>
      <c r="B2" s="2" t="s">
        <v>0</v>
      </c>
      <c r="C2" s="2"/>
      <c r="D2" s="2"/>
      <c r="E2" s="2"/>
      <c r="F2" s="2"/>
      <c r="G2" s="2"/>
      <c r="H2" s="2"/>
      <c r="I2" s="2"/>
      <c r="J2" s="138"/>
      <c r="K2" s="138"/>
      <c r="L2" s="138"/>
      <c r="M2" s="138"/>
      <c r="N2" s="138"/>
      <c r="O2" s="138"/>
      <c r="P2" s="114"/>
      <c r="Q2" s="1"/>
    </row>
    <row r="3" spans="1:17" x14ac:dyDescent="0.3">
      <c r="A3" s="2"/>
      <c r="B3" s="5" t="s">
        <v>6</v>
      </c>
      <c r="C3" s="5"/>
      <c r="D3" s="2"/>
      <c r="E3" s="2"/>
      <c r="F3" s="2"/>
      <c r="G3" s="2"/>
      <c r="H3" s="2"/>
      <c r="I3" s="2"/>
      <c r="J3" s="138"/>
      <c r="K3" s="138"/>
      <c r="L3" s="138"/>
      <c r="M3" s="138"/>
      <c r="N3" s="138"/>
      <c r="O3" s="138"/>
      <c r="P3" s="114"/>
      <c r="Q3" s="1"/>
    </row>
    <row r="4" spans="1:17" ht="18.600000000000001" customHeight="1" thickBot="1" x14ac:dyDescent="0.35">
      <c r="A4" s="2"/>
      <c r="B4" s="2" t="s">
        <v>46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</row>
    <row r="5" spans="1:17" ht="27" customHeight="1" thickTop="1" x14ac:dyDescent="0.3">
      <c r="A5" s="2"/>
      <c r="B5" s="75" t="s">
        <v>1</v>
      </c>
      <c r="C5" s="6"/>
      <c r="D5" s="6"/>
      <c r="E5" s="6"/>
      <c r="F5" s="6"/>
      <c r="G5" s="23"/>
      <c r="H5" s="2"/>
      <c r="I5" s="2"/>
      <c r="J5" s="130" t="s">
        <v>12</v>
      </c>
      <c r="K5" s="131"/>
      <c r="L5" s="131"/>
      <c r="M5" s="11"/>
      <c r="N5" s="63" t="s">
        <v>13</v>
      </c>
      <c r="O5" s="63"/>
      <c r="P5" s="34"/>
      <c r="Q5" s="1"/>
    </row>
    <row r="6" spans="1:17" x14ac:dyDescent="0.3">
      <c r="A6" s="2"/>
      <c r="B6" s="76" t="s">
        <v>2</v>
      </c>
      <c r="C6" s="7"/>
      <c r="D6" s="7"/>
      <c r="E6" s="7"/>
      <c r="F6" s="7"/>
      <c r="G6" s="24"/>
      <c r="H6" s="2"/>
      <c r="I6" s="2"/>
      <c r="J6" s="10" t="s">
        <v>14</v>
      </c>
      <c r="K6" s="84"/>
      <c r="L6" s="84"/>
      <c r="M6" s="7"/>
      <c r="N6" s="101" t="s">
        <v>62</v>
      </c>
      <c r="O6" s="101"/>
      <c r="P6" s="34"/>
      <c r="Q6" s="1"/>
    </row>
    <row r="7" spans="1:17" x14ac:dyDescent="0.3">
      <c r="A7" s="2"/>
      <c r="B7" s="76" t="s">
        <v>7</v>
      </c>
      <c r="C7" s="7"/>
      <c r="D7" s="7"/>
      <c r="E7" s="12"/>
      <c r="F7" s="12">
        <v>11280102247</v>
      </c>
      <c r="G7" s="24"/>
      <c r="H7" s="2"/>
      <c r="I7" s="2"/>
      <c r="J7" s="132" t="s">
        <v>15</v>
      </c>
      <c r="K7" s="133"/>
      <c r="L7" s="133"/>
      <c r="M7" s="7"/>
      <c r="N7" s="101">
        <v>31122021</v>
      </c>
      <c r="O7" s="12"/>
      <c r="P7" s="34"/>
      <c r="Q7" s="1"/>
    </row>
    <row r="8" spans="1:17" x14ac:dyDescent="0.3">
      <c r="A8" s="2"/>
      <c r="B8" s="76" t="s">
        <v>8</v>
      </c>
      <c r="C8" s="7"/>
      <c r="D8" s="7"/>
      <c r="E8" s="47"/>
      <c r="F8" s="66">
        <v>44206</v>
      </c>
      <c r="G8" s="24"/>
      <c r="H8" s="2"/>
      <c r="I8" s="2"/>
      <c r="J8" s="10" t="str">
        <f>B14</f>
        <v>BELEN, EROTIDA</v>
      </c>
      <c r="K8" s="84"/>
      <c r="L8" s="84"/>
      <c r="M8" s="7"/>
      <c r="N8" s="7"/>
      <c r="O8" s="7"/>
      <c r="P8" s="34"/>
      <c r="Q8" s="1"/>
    </row>
    <row r="9" spans="1:17" x14ac:dyDescent="0.3">
      <c r="A9" s="2"/>
      <c r="B9" s="77"/>
      <c r="C9" s="7"/>
      <c r="D9" s="7"/>
      <c r="E9" s="7"/>
      <c r="F9" s="7"/>
      <c r="G9" s="24"/>
      <c r="H9" s="2"/>
      <c r="I9" s="2"/>
      <c r="J9" s="10" t="s">
        <v>11</v>
      </c>
      <c r="K9" s="84"/>
      <c r="L9" s="84"/>
      <c r="M9" s="7"/>
      <c r="N9" s="7"/>
      <c r="O9" s="7"/>
      <c r="P9" s="34"/>
      <c r="Q9" s="1"/>
    </row>
    <row r="10" spans="1:17" x14ac:dyDescent="0.3">
      <c r="A10" s="2"/>
      <c r="B10" s="77"/>
      <c r="C10" s="7"/>
      <c r="D10" s="7"/>
      <c r="E10" s="7"/>
      <c r="F10" s="7"/>
      <c r="G10" s="24"/>
      <c r="H10" s="2"/>
      <c r="I10" s="2"/>
      <c r="J10" s="10" t="str">
        <f>C20</f>
        <v>NO.:</v>
      </c>
      <c r="K10" s="88" t="str">
        <f>D20</f>
        <v>5/E</v>
      </c>
      <c r="L10" s="73" t="str">
        <f>F20</f>
        <v>Piso/Depto:</v>
      </c>
      <c r="M10" s="68" t="str">
        <f>G20</f>
        <v>4AP402</v>
      </c>
      <c r="N10" s="7"/>
      <c r="O10" s="7"/>
      <c r="P10" s="34"/>
      <c r="Q10" s="1"/>
    </row>
    <row r="11" spans="1:17" x14ac:dyDescent="0.3">
      <c r="A11" s="2"/>
      <c r="B11" s="77"/>
      <c r="C11" s="7"/>
      <c r="D11" s="7"/>
      <c r="E11" s="7"/>
      <c r="F11" s="7"/>
      <c r="G11" s="24"/>
      <c r="H11" s="2"/>
      <c r="I11" s="2"/>
      <c r="J11" s="89" t="s">
        <v>56</v>
      </c>
      <c r="K11" s="15"/>
      <c r="L11" s="84"/>
      <c r="M11" s="7"/>
      <c r="N11" s="7"/>
      <c r="O11" s="7"/>
      <c r="P11" s="34"/>
      <c r="Q11" s="1"/>
    </row>
    <row r="12" spans="1:17" x14ac:dyDescent="0.3">
      <c r="A12" s="2"/>
      <c r="B12" s="77"/>
      <c r="C12" s="7"/>
      <c r="D12" s="7"/>
      <c r="E12" s="7"/>
      <c r="F12" s="7"/>
      <c r="G12" s="24"/>
      <c r="H12" s="2"/>
      <c r="I12" s="2"/>
      <c r="J12" s="89" t="str">
        <f>B22</f>
        <v>REF.:</v>
      </c>
      <c r="K12" s="7" t="str">
        <f>C22</f>
        <v xml:space="preserve"> ENTERE CALLE CUARTA Y PADRE MA</v>
      </c>
      <c r="L12" s="88"/>
      <c r="M12" s="7"/>
      <c r="N12" s="7"/>
      <c r="O12" s="57"/>
      <c r="P12" s="34"/>
      <c r="Q12" s="1"/>
    </row>
    <row r="13" spans="1:17" x14ac:dyDescent="0.3">
      <c r="A13" s="2"/>
      <c r="B13" s="76" t="s">
        <v>3</v>
      </c>
      <c r="C13" s="7"/>
      <c r="D13" s="7"/>
      <c r="E13" s="7"/>
      <c r="F13" s="7"/>
      <c r="G13" s="24"/>
      <c r="H13" s="2"/>
      <c r="I13" s="2"/>
      <c r="J13" s="89" t="str">
        <f>B21</f>
        <v xml:space="preserve">LOC.:  </v>
      </c>
      <c r="K13" s="7" t="str">
        <f>C21</f>
        <v>PARQUE DEL ESTE</v>
      </c>
      <c r="L13" s="88"/>
      <c r="M13" s="68"/>
      <c r="N13" s="115" t="s">
        <v>57</v>
      </c>
      <c r="O13" s="68">
        <v>7</v>
      </c>
      <c r="P13" s="34"/>
      <c r="Q13" s="1"/>
    </row>
    <row r="14" spans="1:17" ht="15" thickBot="1" x14ac:dyDescent="0.35">
      <c r="A14" s="2"/>
      <c r="B14" s="78" t="s">
        <v>4</v>
      </c>
      <c r="C14" s="8"/>
      <c r="D14" s="8"/>
      <c r="E14" s="8"/>
      <c r="F14" s="8"/>
      <c r="G14" s="25"/>
      <c r="H14" s="2"/>
      <c r="I14" s="2"/>
      <c r="J14" s="92" t="s">
        <v>19</v>
      </c>
      <c r="K14" s="85"/>
      <c r="L14" s="85"/>
      <c r="M14" s="2"/>
      <c r="N14" s="97" t="s">
        <v>60</v>
      </c>
      <c r="O14" s="3">
        <v>3</v>
      </c>
      <c r="P14" s="34"/>
      <c r="Q14" s="1"/>
    </row>
    <row r="15" spans="1:17" ht="15" thickTop="1" x14ac:dyDescent="0.3">
      <c r="A15" s="2"/>
      <c r="B15" s="45"/>
      <c r="C15" s="26"/>
      <c r="D15" s="26"/>
      <c r="E15" s="26"/>
      <c r="F15" s="26"/>
      <c r="G15" s="27"/>
      <c r="H15" s="2"/>
      <c r="I15" s="2"/>
      <c r="J15" s="92" t="s">
        <v>16</v>
      </c>
      <c r="K15" s="85"/>
      <c r="L15" s="85"/>
      <c r="M15" s="2"/>
      <c r="N15" s="97" t="s">
        <v>58</v>
      </c>
      <c r="O15" s="3" t="s">
        <v>59</v>
      </c>
      <c r="P15" s="34"/>
      <c r="Q15" s="1"/>
    </row>
    <row r="16" spans="1:17" ht="22.2" customHeight="1" x14ac:dyDescent="0.5">
      <c r="A16" s="2"/>
      <c r="B16" s="46" t="s">
        <v>9</v>
      </c>
      <c r="C16" s="28"/>
      <c r="D16" s="28"/>
      <c r="E16" s="65"/>
      <c r="F16" s="67">
        <f>F8+30</f>
        <v>44236</v>
      </c>
      <c r="G16" s="29"/>
      <c r="H16" s="2"/>
      <c r="I16" s="2"/>
      <c r="J16" s="93" t="s">
        <v>17</v>
      </c>
      <c r="K16" s="86"/>
      <c r="L16" s="86"/>
      <c r="M16" s="2"/>
      <c r="N16" s="134" t="s">
        <v>61</v>
      </c>
      <c r="O16" s="134"/>
      <c r="P16" s="34"/>
      <c r="Q16" s="1"/>
    </row>
    <row r="17" spans="1:17" ht="15" thickBot="1" x14ac:dyDescent="0.35">
      <c r="A17" s="2"/>
      <c r="B17" s="30"/>
      <c r="C17" s="31"/>
      <c r="D17" s="31"/>
      <c r="E17" s="31"/>
      <c r="F17" s="31"/>
      <c r="G17" s="32"/>
      <c r="H17" s="2"/>
      <c r="I17" s="2"/>
      <c r="J17" s="94" t="s">
        <v>18</v>
      </c>
      <c r="K17" s="87"/>
      <c r="L17" s="87"/>
      <c r="M17" s="14"/>
      <c r="N17" s="135"/>
      <c r="O17" s="135"/>
      <c r="P17" s="34"/>
      <c r="Q17" s="1"/>
    </row>
    <row r="18" spans="1:17" ht="15" thickTop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"/>
    </row>
    <row r="19" spans="1:17" x14ac:dyDescent="0.3">
      <c r="A19" s="2"/>
      <c r="B19" s="15" t="s">
        <v>5</v>
      </c>
      <c r="C19" s="15"/>
      <c r="D19" s="7"/>
      <c r="E19" s="7"/>
      <c r="F19" s="7"/>
      <c r="G19" s="7"/>
      <c r="H19" s="2"/>
      <c r="I19" s="2"/>
      <c r="J19" s="28"/>
      <c r="K19" s="117" t="s">
        <v>20</v>
      </c>
      <c r="L19" s="117"/>
      <c r="M19" s="28"/>
      <c r="N19" s="28"/>
      <c r="O19" s="28"/>
      <c r="P19" s="2"/>
      <c r="Q19" s="1"/>
    </row>
    <row r="20" spans="1:17" ht="14.4" customHeight="1" x14ac:dyDescent="0.3">
      <c r="A20" s="2"/>
      <c r="B20" s="62" t="s">
        <v>10</v>
      </c>
      <c r="C20" s="73" t="s">
        <v>52</v>
      </c>
      <c r="D20" s="71" t="s">
        <v>53</v>
      </c>
      <c r="E20" s="9"/>
      <c r="F20" s="73" t="s">
        <v>54</v>
      </c>
      <c r="G20" s="72" t="s">
        <v>55</v>
      </c>
      <c r="H20" s="2"/>
      <c r="I20" s="2"/>
      <c r="J20" s="137">
        <v>1128010</v>
      </c>
      <c r="K20" s="137"/>
      <c r="L20" s="137"/>
      <c r="M20" s="139" t="str">
        <f>J20&amp;"00000000"</f>
        <v>112801000000000</v>
      </c>
      <c r="N20" s="139"/>
      <c r="O20" s="139"/>
      <c r="P20" s="104"/>
      <c r="Q20" s="1"/>
    </row>
    <row r="21" spans="1:17" ht="14.4" customHeight="1" x14ac:dyDescent="0.3">
      <c r="A21" s="2"/>
      <c r="B21" s="68" t="s">
        <v>48</v>
      </c>
      <c r="C21" s="68" t="s">
        <v>49</v>
      </c>
      <c r="D21" s="7"/>
      <c r="E21" s="7"/>
      <c r="F21" s="7"/>
      <c r="G21" s="7"/>
      <c r="H21" s="2"/>
      <c r="I21" s="2"/>
      <c r="J21" s="137"/>
      <c r="K21" s="137"/>
      <c r="L21" s="137"/>
      <c r="M21" s="139"/>
      <c r="N21" s="139"/>
      <c r="O21" s="139"/>
      <c r="P21" s="104"/>
      <c r="Q21" s="1"/>
    </row>
    <row r="22" spans="1:17" ht="14.4" customHeight="1" x14ac:dyDescent="0.3">
      <c r="A22" s="2"/>
      <c r="B22" s="62" t="s">
        <v>50</v>
      </c>
      <c r="C22" s="7" t="s">
        <v>51</v>
      </c>
      <c r="D22" s="7"/>
      <c r="E22" s="7"/>
      <c r="F22" s="7"/>
      <c r="G22" s="7"/>
      <c r="H22" s="2"/>
      <c r="I22" s="2"/>
      <c r="J22" s="136" t="s">
        <v>21</v>
      </c>
      <c r="K22" s="136"/>
      <c r="L22" s="136"/>
      <c r="M22" s="139"/>
      <c r="N22" s="139"/>
      <c r="O22" s="139"/>
      <c r="P22" s="104"/>
      <c r="Q22" s="1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"/>
    </row>
    <row r="24" spans="1:17" ht="15.6" x14ac:dyDescent="0.3">
      <c r="A24" s="2"/>
      <c r="B24" s="16" t="s">
        <v>22</v>
      </c>
      <c r="C24" s="7"/>
      <c r="D24" s="7"/>
      <c r="E24" s="16" t="s">
        <v>25</v>
      </c>
      <c r="F24" s="7"/>
      <c r="G24" s="129" t="s">
        <v>41</v>
      </c>
      <c r="H24" s="129"/>
      <c r="I24" s="129"/>
      <c r="J24" s="129"/>
      <c r="K24" s="129"/>
      <c r="L24" s="129"/>
      <c r="M24" s="7"/>
      <c r="N24" s="111" t="s">
        <v>28</v>
      </c>
      <c r="O24" s="7"/>
      <c r="P24" s="2"/>
      <c r="Q24" s="1"/>
    </row>
    <row r="25" spans="1:17" ht="15.6" x14ac:dyDescent="0.3">
      <c r="A25" s="2"/>
      <c r="B25" s="16" t="s">
        <v>23</v>
      </c>
      <c r="C25" s="7"/>
      <c r="D25" s="13" t="s">
        <v>26</v>
      </c>
      <c r="E25" s="17"/>
      <c r="F25" s="17"/>
      <c r="G25" s="17"/>
      <c r="H25" s="9" t="s">
        <v>27</v>
      </c>
      <c r="I25" s="22"/>
      <c r="J25" s="22"/>
      <c r="K25" s="22"/>
      <c r="L25" s="7"/>
      <c r="M25" s="7"/>
      <c r="N25" s="110" t="s">
        <v>29</v>
      </c>
      <c r="O25" s="7"/>
      <c r="P25" s="2"/>
      <c r="Q25" s="1"/>
    </row>
    <row r="26" spans="1:17" ht="15.6" x14ac:dyDescent="0.3">
      <c r="A26" s="2"/>
      <c r="B26" s="16" t="s">
        <v>24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2"/>
      <c r="Q26" s="1"/>
    </row>
    <row r="27" spans="1:17" ht="1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"/>
    </row>
    <row r="28" spans="1:17" ht="31.8" thickBot="1" x14ac:dyDescent="0.35">
      <c r="A28" s="2"/>
      <c r="B28" s="18" t="s">
        <v>30</v>
      </c>
      <c r="C28" s="128" t="s">
        <v>44</v>
      </c>
      <c r="D28" s="128"/>
      <c r="E28" s="20" t="s">
        <v>31</v>
      </c>
      <c r="F28" s="19" t="s">
        <v>45</v>
      </c>
      <c r="G28" s="21" t="s">
        <v>32</v>
      </c>
      <c r="H28" s="60" t="s">
        <v>33</v>
      </c>
      <c r="I28" s="81"/>
      <c r="J28" s="118" t="s">
        <v>34</v>
      </c>
      <c r="K28" s="119"/>
      <c r="L28" s="119"/>
      <c r="M28" s="119"/>
      <c r="N28" s="119"/>
      <c r="O28" s="120"/>
      <c r="P28" s="105"/>
      <c r="Q28" s="1"/>
    </row>
    <row r="29" spans="1:17" x14ac:dyDescent="0.3">
      <c r="A29" s="54"/>
      <c r="B29" s="59" t="s">
        <v>42</v>
      </c>
      <c r="C29" s="123">
        <v>783431</v>
      </c>
      <c r="D29" s="123"/>
      <c r="E29" s="55">
        <v>32875</v>
      </c>
      <c r="F29" s="55">
        <v>33141</v>
      </c>
      <c r="G29" s="54">
        <v>1</v>
      </c>
      <c r="H29" s="64" t="str">
        <f>CONCATENATE(F29-E29)</f>
        <v>266</v>
      </c>
      <c r="I29" s="58"/>
      <c r="J29" s="82"/>
      <c r="K29" s="100"/>
      <c r="L29" s="2"/>
      <c r="M29" s="2"/>
      <c r="N29" s="2"/>
      <c r="O29" s="2"/>
      <c r="P29" s="34"/>
      <c r="Q29" s="1"/>
    </row>
    <row r="30" spans="1:17" x14ac:dyDescent="0.3">
      <c r="A30" s="2"/>
      <c r="B30" s="42"/>
      <c r="C30" s="2"/>
      <c r="D30" s="2"/>
      <c r="E30" s="2"/>
      <c r="F30" s="2"/>
      <c r="G30" s="2"/>
      <c r="H30" s="29"/>
      <c r="I30" s="33"/>
      <c r="J30" s="124" t="s">
        <v>35</v>
      </c>
      <c r="K30" s="124"/>
      <c r="L30" s="124"/>
      <c r="M30" s="124"/>
      <c r="N30" s="2"/>
      <c r="O30" s="2"/>
      <c r="P30" s="34"/>
      <c r="Q30" s="1"/>
    </row>
    <row r="31" spans="1:17" x14ac:dyDescent="0.3">
      <c r="A31" s="2"/>
      <c r="B31" s="42"/>
      <c r="C31" s="2"/>
      <c r="D31" s="2"/>
      <c r="E31" s="2"/>
      <c r="F31" s="2"/>
      <c r="G31" s="2"/>
      <c r="H31" s="29"/>
      <c r="I31" s="33"/>
      <c r="J31" s="125" t="s">
        <v>63</v>
      </c>
      <c r="K31" s="126"/>
      <c r="L31" s="126"/>
      <c r="M31" s="126"/>
      <c r="N31" s="55"/>
      <c r="O31" s="90">
        <v>137.25</v>
      </c>
      <c r="P31" s="106"/>
      <c r="Q31" s="1"/>
    </row>
    <row r="32" spans="1:17" x14ac:dyDescent="0.3">
      <c r="A32" s="2"/>
      <c r="B32" s="42"/>
      <c r="C32" s="2"/>
      <c r="D32" s="2"/>
      <c r="E32" s="2"/>
      <c r="F32" s="2"/>
      <c r="G32" s="2"/>
      <c r="H32" s="29"/>
      <c r="I32" s="33"/>
      <c r="J32" s="34"/>
      <c r="K32" s="2"/>
      <c r="L32" s="69"/>
      <c r="M32" s="2"/>
      <c r="N32" s="2"/>
      <c r="P32" s="107"/>
      <c r="Q32" s="1"/>
    </row>
    <row r="33" spans="1:17" x14ac:dyDescent="0.3">
      <c r="A33" s="2"/>
      <c r="B33" s="42"/>
      <c r="C33" s="2"/>
      <c r="D33" s="2"/>
      <c r="E33" s="2"/>
      <c r="F33" s="2"/>
      <c r="G33" s="2"/>
      <c r="H33" s="29"/>
      <c r="I33" s="33"/>
      <c r="J33" s="124" t="s">
        <v>36</v>
      </c>
      <c r="K33" s="124"/>
      <c r="L33" s="124"/>
      <c r="M33" s="124"/>
      <c r="N33" s="2"/>
      <c r="O33" s="48"/>
      <c r="P33" s="107"/>
      <c r="Q33" s="1"/>
    </row>
    <row r="34" spans="1:17" x14ac:dyDescent="0.3">
      <c r="A34" s="2"/>
      <c r="B34" s="42"/>
      <c r="C34" s="2"/>
      <c r="D34" s="2"/>
      <c r="E34" s="2"/>
      <c r="F34" s="2"/>
      <c r="G34" s="2"/>
      <c r="H34" s="29"/>
      <c r="I34" s="33"/>
      <c r="J34" s="102">
        <f>MIN(H29,200)</f>
        <v>200</v>
      </c>
      <c r="K34" s="96" t="s">
        <v>64</v>
      </c>
      <c r="L34" s="69" t="s">
        <v>65</v>
      </c>
      <c r="M34" s="69">
        <v>4.4400000000000004</v>
      </c>
      <c r="N34" s="55"/>
      <c r="O34" s="90">
        <f>J34*M34</f>
        <v>888.00000000000011</v>
      </c>
      <c r="P34" s="106"/>
      <c r="Q34" s="1"/>
    </row>
    <row r="35" spans="1:17" x14ac:dyDescent="0.3">
      <c r="A35" s="2"/>
      <c r="B35" s="42"/>
      <c r="C35" s="2"/>
      <c r="D35" s="2"/>
      <c r="E35" s="2"/>
      <c r="F35" s="2"/>
      <c r="G35" s="2"/>
      <c r="H35" s="29"/>
      <c r="I35" s="33"/>
      <c r="J35" s="34"/>
      <c r="K35" s="2"/>
      <c r="L35" s="80"/>
      <c r="M35" s="2"/>
      <c r="N35" s="2"/>
      <c r="O35" s="48"/>
      <c r="P35" s="107"/>
      <c r="Q35" s="1"/>
    </row>
    <row r="36" spans="1:17" x14ac:dyDescent="0.3">
      <c r="A36" s="2"/>
      <c r="B36" s="42"/>
      <c r="C36" s="2"/>
      <c r="D36" s="2"/>
      <c r="E36" s="2"/>
      <c r="F36" s="2"/>
      <c r="G36" s="2"/>
      <c r="H36" s="29"/>
      <c r="I36" s="33"/>
      <c r="J36" s="140">
        <f>(H29-J34)</f>
        <v>66</v>
      </c>
      <c r="K36" s="69" t="s">
        <v>66</v>
      </c>
      <c r="L36" s="103" t="s">
        <v>67</v>
      </c>
      <c r="M36" s="69">
        <v>6.97</v>
      </c>
      <c r="N36" s="55"/>
      <c r="O36" s="91">
        <f>J36*M36</f>
        <v>460.02</v>
      </c>
      <c r="P36" s="108"/>
      <c r="Q36" s="1"/>
    </row>
    <row r="37" spans="1:17" x14ac:dyDescent="0.3">
      <c r="A37" s="2"/>
      <c r="B37" s="42"/>
      <c r="C37" s="2"/>
      <c r="D37" s="2"/>
      <c r="E37" s="2"/>
      <c r="F37" s="2"/>
      <c r="G37" s="2"/>
      <c r="H37" s="29"/>
      <c r="I37" s="33"/>
      <c r="J37" s="34"/>
      <c r="K37" s="2"/>
      <c r="L37" s="2"/>
      <c r="M37" s="2"/>
      <c r="N37" s="2"/>
      <c r="O37" s="2"/>
      <c r="P37" s="34"/>
      <c r="Q37" s="1"/>
    </row>
    <row r="38" spans="1:17" ht="15" thickBot="1" x14ac:dyDescent="0.35">
      <c r="A38" s="2"/>
      <c r="B38" s="43"/>
      <c r="C38" s="44"/>
      <c r="D38" s="44"/>
      <c r="E38" s="44"/>
      <c r="F38" s="44"/>
      <c r="G38" s="44"/>
      <c r="H38" s="61"/>
      <c r="I38" s="33"/>
      <c r="J38" s="34"/>
      <c r="K38" s="2"/>
      <c r="L38" s="2"/>
      <c r="M38" s="2"/>
      <c r="N38" s="2"/>
      <c r="O38" s="2"/>
      <c r="P38" s="34"/>
      <c r="Q38" s="1"/>
    </row>
    <row r="39" spans="1:17" x14ac:dyDescent="0.3">
      <c r="A39" s="2"/>
      <c r="B39" s="2"/>
      <c r="C39" s="2"/>
      <c r="D39" s="2"/>
      <c r="E39" s="2"/>
      <c r="F39" s="2"/>
      <c r="G39" s="2"/>
      <c r="H39" s="4"/>
      <c r="I39" s="4"/>
      <c r="J39" s="83"/>
      <c r="K39" s="4"/>
      <c r="L39" s="2"/>
      <c r="M39" s="2"/>
      <c r="N39" s="2"/>
      <c r="O39" s="2"/>
      <c r="P39" s="34"/>
      <c r="Q39" s="1"/>
    </row>
    <row r="40" spans="1:17" x14ac:dyDescent="0.3">
      <c r="A40" s="2"/>
      <c r="B40" s="35" t="s">
        <v>37</v>
      </c>
      <c r="C40" s="35" t="s">
        <v>38</v>
      </c>
      <c r="D40" s="35" t="s">
        <v>39</v>
      </c>
      <c r="E40" s="7"/>
      <c r="F40" s="7"/>
      <c r="G40" s="7"/>
      <c r="H40" s="7"/>
      <c r="I40" s="2"/>
      <c r="J40" s="34"/>
      <c r="K40" s="2"/>
      <c r="L40" s="2"/>
      <c r="M40" s="2"/>
      <c r="N40" s="2"/>
      <c r="O40" s="2"/>
      <c r="P40" s="34"/>
      <c r="Q40" s="1"/>
    </row>
    <row r="41" spans="1:17" x14ac:dyDescent="0.3">
      <c r="A41" s="2"/>
      <c r="B41" s="141">
        <v>43831</v>
      </c>
      <c r="C41" s="36">
        <v>244</v>
      </c>
      <c r="D41" s="37">
        <v>0.62</v>
      </c>
      <c r="E41" s="38">
        <v>43831</v>
      </c>
      <c r="F41" s="39"/>
      <c r="G41" s="39"/>
      <c r="H41" s="7"/>
      <c r="I41" s="2"/>
      <c r="J41" s="34"/>
      <c r="K41" s="2"/>
      <c r="L41" s="2"/>
      <c r="M41" s="2"/>
      <c r="N41" s="2"/>
      <c r="O41" s="2"/>
      <c r="P41" s="34"/>
      <c r="Q41" s="1"/>
    </row>
    <row r="42" spans="1:17" x14ac:dyDescent="0.3">
      <c r="A42" s="2"/>
      <c r="B42" s="141">
        <v>43862</v>
      </c>
      <c r="C42" s="36">
        <v>219</v>
      </c>
      <c r="D42" s="37">
        <v>0.62</v>
      </c>
      <c r="E42" s="38"/>
      <c r="F42" s="39"/>
      <c r="G42" s="39"/>
      <c r="H42" s="7"/>
      <c r="I42" s="2"/>
      <c r="J42" s="34"/>
      <c r="K42" s="2"/>
      <c r="L42" s="2"/>
      <c r="M42" s="2"/>
      <c r="N42" s="2"/>
      <c r="O42" s="2"/>
      <c r="P42" s="34"/>
      <c r="Q42" s="1"/>
    </row>
    <row r="43" spans="1:17" x14ac:dyDescent="0.3">
      <c r="A43" s="2"/>
      <c r="B43" s="141">
        <v>43891</v>
      </c>
      <c r="C43" s="36">
        <v>165</v>
      </c>
      <c r="D43" s="37">
        <v>0.62</v>
      </c>
      <c r="E43" s="38"/>
      <c r="F43" s="39"/>
      <c r="G43" s="39"/>
      <c r="H43" s="7"/>
      <c r="I43" s="2"/>
      <c r="J43" s="34"/>
      <c r="K43" s="2"/>
      <c r="L43" s="2"/>
      <c r="M43" s="2"/>
      <c r="N43" s="2"/>
      <c r="O43" s="2"/>
      <c r="P43" s="34"/>
      <c r="Q43" s="1"/>
    </row>
    <row r="44" spans="1:17" x14ac:dyDescent="0.3">
      <c r="A44" s="2"/>
      <c r="B44" s="141">
        <v>43922</v>
      </c>
      <c r="C44" s="36">
        <v>255</v>
      </c>
      <c r="D44" s="37">
        <v>0.62</v>
      </c>
      <c r="E44" s="38"/>
      <c r="F44" s="39"/>
      <c r="G44" s="39"/>
      <c r="H44" s="7"/>
      <c r="I44" s="2"/>
      <c r="J44" s="34"/>
      <c r="K44" s="2"/>
      <c r="L44" s="2"/>
      <c r="M44" s="2"/>
      <c r="N44" s="2"/>
      <c r="O44" s="2"/>
      <c r="P44" s="34"/>
      <c r="Q44" s="1"/>
    </row>
    <row r="45" spans="1:17" x14ac:dyDescent="0.3">
      <c r="A45" s="2"/>
      <c r="B45" s="141">
        <v>43952</v>
      </c>
      <c r="C45" s="36">
        <v>273</v>
      </c>
      <c r="D45" s="37">
        <v>0.62</v>
      </c>
      <c r="E45" s="38"/>
      <c r="F45" s="39"/>
      <c r="G45" s="39"/>
      <c r="H45" s="7"/>
      <c r="I45" s="2"/>
      <c r="J45" s="34"/>
      <c r="K45" s="2"/>
      <c r="L45" s="2"/>
      <c r="M45" s="2"/>
      <c r="N45" s="2"/>
      <c r="O45" s="2"/>
      <c r="P45" s="34"/>
      <c r="Q45" s="1"/>
    </row>
    <row r="46" spans="1:17" x14ac:dyDescent="0.3">
      <c r="A46" s="2"/>
      <c r="B46" s="141">
        <v>43983</v>
      </c>
      <c r="C46" s="36">
        <v>259</v>
      </c>
      <c r="D46" s="37">
        <v>0.62</v>
      </c>
      <c r="E46" s="38"/>
      <c r="F46" s="39"/>
      <c r="G46" s="39"/>
      <c r="H46" s="7"/>
      <c r="I46" s="2"/>
      <c r="J46" s="34"/>
      <c r="K46" s="2"/>
      <c r="L46" s="2"/>
      <c r="M46" s="2"/>
      <c r="N46" s="55"/>
      <c r="O46" s="2"/>
      <c r="P46" s="34"/>
      <c r="Q46" s="1"/>
    </row>
    <row r="47" spans="1:17" ht="14.4" customHeight="1" x14ac:dyDescent="0.3">
      <c r="A47" s="2"/>
      <c r="B47" s="141">
        <v>44013</v>
      </c>
      <c r="C47" s="36">
        <v>320</v>
      </c>
      <c r="D47" s="37">
        <v>0.62</v>
      </c>
      <c r="E47" s="38"/>
      <c r="F47" s="39"/>
      <c r="G47" s="39"/>
      <c r="H47" s="7"/>
      <c r="I47" s="2"/>
      <c r="J47" s="34"/>
      <c r="K47" s="127" t="s">
        <v>47</v>
      </c>
      <c r="L47" s="127"/>
      <c r="M47" s="127"/>
      <c r="N47" s="121">
        <f>O34+O36+O31</f>
        <v>1485.27</v>
      </c>
      <c r="O47" s="112"/>
      <c r="P47" s="34"/>
      <c r="Q47" s="1"/>
    </row>
    <row r="48" spans="1:17" ht="14.4" customHeight="1" x14ac:dyDescent="0.3">
      <c r="A48" s="2"/>
      <c r="B48" s="141">
        <v>44044</v>
      </c>
      <c r="C48" s="36">
        <v>360</v>
      </c>
      <c r="D48" s="37">
        <v>0.62</v>
      </c>
      <c r="E48" s="38"/>
      <c r="F48" s="39"/>
      <c r="G48" s="39"/>
      <c r="H48" s="7"/>
      <c r="I48" s="2"/>
      <c r="J48" s="34"/>
      <c r="K48" s="127"/>
      <c r="L48" s="127"/>
      <c r="M48" s="127"/>
      <c r="N48" s="121"/>
      <c r="O48" s="112"/>
      <c r="P48" s="34"/>
      <c r="Q48" s="1"/>
    </row>
    <row r="49" spans="1:17" ht="14.4" customHeight="1" x14ac:dyDescent="0.3">
      <c r="A49" s="2"/>
      <c r="B49" s="141">
        <v>44075</v>
      </c>
      <c r="C49" s="36">
        <v>371</v>
      </c>
      <c r="D49" s="37">
        <v>0.62</v>
      </c>
      <c r="E49" s="38"/>
      <c r="F49" s="39"/>
      <c r="G49" s="39"/>
      <c r="H49" s="7"/>
      <c r="I49" s="2"/>
      <c r="J49" s="34"/>
      <c r="K49" s="116" t="s">
        <v>68</v>
      </c>
      <c r="L49" s="116"/>
      <c r="M49" s="116"/>
      <c r="N49" s="122">
        <f>F16</f>
        <v>44236</v>
      </c>
      <c r="O49" s="113"/>
      <c r="P49" s="109"/>
      <c r="Q49" s="1"/>
    </row>
    <row r="50" spans="1:17" ht="14.4" customHeight="1" x14ac:dyDescent="0.3">
      <c r="A50" s="2"/>
      <c r="B50" s="141">
        <v>44105</v>
      </c>
      <c r="C50" s="36">
        <v>346</v>
      </c>
      <c r="D50" s="37">
        <v>0.62</v>
      </c>
      <c r="E50" s="38"/>
      <c r="F50" s="39"/>
      <c r="G50" s="39"/>
      <c r="H50" s="7"/>
      <c r="I50" s="2"/>
      <c r="J50" s="34"/>
      <c r="K50" s="116"/>
      <c r="L50" s="116"/>
      <c r="M50" s="116"/>
      <c r="N50" s="122"/>
      <c r="O50" s="113"/>
      <c r="P50" s="109"/>
      <c r="Q50" s="1"/>
    </row>
    <row r="51" spans="1:17" x14ac:dyDescent="0.3">
      <c r="A51" s="2"/>
      <c r="B51" s="141">
        <v>44136</v>
      </c>
      <c r="C51" s="36">
        <v>304</v>
      </c>
      <c r="D51" s="37">
        <v>0.62</v>
      </c>
      <c r="E51" s="38"/>
      <c r="F51" s="39"/>
      <c r="G51" s="39"/>
      <c r="H51" s="7"/>
      <c r="I51" s="2"/>
      <c r="J51" s="34"/>
      <c r="K51" s="2"/>
      <c r="L51" s="2"/>
      <c r="M51" s="2"/>
      <c r="N51" s="2"/>
      <c r="O51" s="2"/>
      <c r="P51" s="34"/>
      <c r="Q51" s="1"/>
    </row>
    <row r="52" spans="1:17" ht="15" thickBot="1" x14ac:dyDescent="0.35">
      <c r="A52" s="2"/>
      <c r="B52" s="141">
        <v>44166</v>
      </c>
      <c r="C52" s="36">
        <v>273</v>
      </c>
      <c r="D52" s="37">
        <v>0.62</v>
      </c>
      <c r="E52" s="38"/>
      <c r="F52" s="39"/>
      <c r="G52" s="39"/>
      <c r="H52" s="7"/>
      <c r="I52" s="2"/>
      <c r="J52" s="56"/>
      <c r="K52" s="14"/>
      <c r="L52" s="14"/>
      <c r="M52" s="14"/>
      <c r="N52" s="14"/>
      <c r="O52" s="14"/>
      <c r="P52" s="34"/>
      <c r="Q52" s="1"/>
    </row>
    <row r="53" spans="1:17" ht="15" thickTop="1" x14ac:dyDescent="0.3">
      <c r="A53" s="2"/>
      <c r="B53" s="141">
        <v>44197</v>
      </c>
      <c r="C53" s="36">
        <v>266</v>
      </c>
      <c r="D53" s="37">
        <v>0.62</v>
      </c>
      <c r="E53" s="38"/>
      <c r="F53" s="39"/>
      <c r="G53" s="39"/>
      <c r="H53" s="7"/>
      <c r="I53" s="2"/>
      <c r="J53" s="2"/>
      <c r="K53" s="2"/>
      <c r="L53" s="2"/>
      <c r="M53" s="2"/>
      <c r="N53" s="2"/>
      <c r="O53" s="2"/>
      <c r="P53" s="2"/>
      <c r="Q53" s="1"/>
    </row>
    <row r="54" spans="1:17" ht="16.2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70" t="s">
        <v>43</v>
      </c>
      <c r="K54" s="70"/>
      <c r="L54" s="70"/>
      <c r="M54" s="2"/>
      <c r="N54" s="2"/>
      <c r="O54" s="2"/>
      <c r="P54" s="2"/>
      <c r="Q54" s="1"/>
    </row>
    <row r="55" spans="1:17" x14ac:dyDescent="0.3">
      <c r="A55" s="2"/>
      <c r="B55" s="40"/>
      <c r="C55" s="41"/>
      <c r="D55" s="41"/>
      <c r="E55" s="41"/>
      <c r="F55" s="41"/>
      <c r="G55" s="41"/>
      <c r="H55" s="49"/>
      <c r="I55" s="2"/>
      <c r="J55" s="28"/>
      <c r="K55" s="28"/>
      <c r="L55" s="28"/>
      <c r="M55" s="28"/>
      <c r="N55" s="28"/>
      <c r="O55" s="28"/>
      <c r="P55" s="2"/>
      <c r="Q55" s="1"/>
    </row>
    <row r="56" spans="1:17" ht="25.2" x14ac:dyDescent="0.5">
      <c r="A56" s="2"/>
      <c r="B56" s="74" t="s">
        <v>40</v>
      </c>
      <c r="C56" s="2"/>
      <c r="D56" s="2"/>
      <c r="E56" s="2"/>
      <c r="F56" s="2"/>
      <c r="G56" s="2"/>
      <c r="H56" s="50"/>
      <c r="I56" s="2"/>
      <c r="J56" s="28"/>
      <c r="K56" s="28"/>
      <c r="L56" s="28"/>
      <c r="M56" s="28"/>
      <c r="N56" s="28"/>
      <c r="O56" s="28"/>
      <c r="P56" s="2"/>
      <c r="Q56" s="1"/>
    </row>
    <row r="57" spans="1:17" ht="15" thickBot="1" x14ac:dyDescent="0.35">
      <c r="A57" s="2"/>
      <c r="B57" s="43"/>
      <c r="C57" s="44"/>
      <c r="D57" s="44"/>
      <c r="E57" s="44"/>
      <c r="F57" s="44"/>
      <c r="G57" s="44"/>
      <c r="H57" s="53"/>
      <c r="I57" s="2"/>
      <c r="J57" s="28"/>
      <c r="K57" s="28"/>
      <c r="L57" s="28"/>
      <c r="M57" s="28"/>
      <c r="N57" s="28"/>
      <c r="O57" s="28"/>
      <c r="P57" s="2"/>
      <c r="Q57" s="1"/>
    </row>
    <row r="58" spans="1:17" x14ac:dyDescent="0.3">
      <c r="A58" s="2"/>
      <c r="B58" s="2"/>
      <c r="C58" s="2"/>
      <c r="D58" s="2"/>
      <c r="E58" s="2"/>
      <c r="F58" s="2"/>
      <c r="G58" s="2"/>
      <c r="H58" s="2"/>
      <c r="I58" s="2"/>
      <c r="J58" s="28"/>
      <c r="K58" s="28"/>
      <c r="L58" s="28"/>
      <c r="M58" s="28"/>
      <c r="N58" s="28"/>
      <c r="O58" s="28"/>
      <c r="P58" s="2"/>
      <c r="Q58" s="1"/>
    </row>
    <row r="59" spans="1:1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</row>
    <row r="60" spans="1:17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</row>
    <row r="61" spans="1:17" ht="33" customHeight="1" x14ac:dyDescent="0.3">
      <c r="A61" s="2"/>
      <c r="B61" s="40" t="e" vm="1">
        <v>#VALUE!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2"/>
      <c r="Q61" s="1"/>
    </row>
    <row r="62" spans="1:17" x14ac:dyDescent="0.3">
      <c r="A62" s="2"/>
      <c r="B62" s="52" t="str">
        <f>B13</f>
        <v>TITULAR DEL CONTRATO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42"/>
      <c r="Q62" s="1"/>
    </row>
    <row r="63" spans="1:17" x14ac:dyDescent="0.3">
      <c r="A63" s="2"/>
      <c r="B63" s="42" t="str">
        <f>B14</f>
        <v>BELEN, EROTIDA</v>
      </c>
      <c r="C63" s="2"/>
      <c r="D63" s="2"/>
      <c r="E63" s="2"/>
      <c r="F63" s="2"/>
      <c r="G63" s="147" t="str">
        <f>B7</f>
        <v>REFERENCIA DE PAGO:</v>
      </c>
      <c r="H63" s="147"/>
      <c r="I63" s="147"/>
      <c r="J63" s="148">
        <f>F7</f>
        <v>11280102247</v>
      </c>
      <c r="K63" s="148"/>
      <c r="L63" s="148"/>
      <c r="M63" s="2"/>
      <c r="N63" s="3"/>
      <c r="O63" s="2"/>
      <c r="P63" s="42"/>
      <c r="Q63" s="1"/>
    </row>
    <row r="64" spans="1:17" x14ac:dyDescent="0.3">
      <c r="A64" s="2"/>
      <c r="B64" s="52" t="str">
        <f>B19</f>
        <v>DIRECCION DEL SUMINSITRO</v>
      </c>
      <c r="C64" s="2"/>
      <c r="D64" s="2"/>
      <c r="E64" s="2"/>
      <c r="F64" s="2"/>
      <c r="G64" s="146" t="str">
        <f>B16</f>
        <v xml:space="preserve">FECHA LIMITE DE PAGO :   </v>
      </c>
      <c r="H64" s="142"/>
      <c r="I64" s="142"/>
      <c r="J64" s="149">
        <f>F16</f>
        <v>44236</v>
      </c>
      <c r="K64" s="149"/>
      <c r="L64" s="149"/>
      <c r="M64" s="2"/>
      <c r="N64" s="51"/>
      <c r="O64" s="2"/>
      <c r="P64" s="42"/>
      <c r="Q64" s="1"/>
    </row>
    <row r="65" spans="1:17" ht="14.4" customHeight="1" x14ac:dyDescent="0.3">
      <c r="A65" s="2"/>
      <c r="B65" s="42" t="str">
        <f>B20</f>
        <v xml:space="preserve">MZNA E    </v>
      </c>
      <c r="C65" s="2"/>
      <c r="D65" s="79" t="str">
        <f>C20</f>
        <v>NO.:</v>
      </c>
      <c r="E65" s="2" t="str">
        <f>D20</f>
        <v>5/E</v>
      </c>
      <c r="F65" s="79" t="str">
        <f>F20</f>
        <v>Piso/Depto:</v>
      </c>
      <c r="G65" s="2" t="str">
        <f>G20</f>
        <v>4AP402</v>
      </c>
      <c r="H65" s="2"/>
      <c r="I65" s="2"/>
      <c r="K65" s="2"/>
      <c r="L65" s="144" t="str">
        <f>K47</f>
        <v xml:space="preserve">    IMPORTE TOTAL EN  RD$                 </v>
      </c>
      <c r="M65" s="144"/>
      <c r="N65" s="145">
        <f>N47</f>
        <v>1485.27</v>
      </c>
      <c r="O65" s="143"/>
      <c r="P65" s="42"/>
      <c r="Q65" s="1"/>
    </row>
    <row r="66" spans="1:17" ht="14.4" customHeight="1" x14ac:dyDescent="0.3">
      <c r="A66" s="2"/>
      <c r="B66" s="52" t="str">
        <f>B21</f>
        <v xml:space="preserve">LOC.:  </v>
      </c>
      <c r="C66" s="2" t="str">
        <f>C21</f>
        <v>PARQUE DEL ESTE</v>
      </c>
      <c r="D66" s="2"/>
      <c r="E66" s="2"/>
      <c r="F66" s="2"/>
      <c r="G66" s="2"/>
      <c r="H66" s="2"/>
      <c r="I66" s="2"/>
      <c r="J66" s="2"/>
      <c r="K66" s="2"/>
      <c r="L66" s="144"/>
      <c r="M66" s="144"/>
      <c r="N66" s="145"/>
      <c r="O66" s="143"/>
      <c r="P66" s="42"/>
      <c r="Q66" s="1"/>
    </row>
    <row r="67" spans="1:17" x14ac:dyDescent="0.3">
      <c r="A67" s="2"/>
      <c r="B67" s="95">
        <f>L12</f>
        <v>0</v>
      </c>
      <c r="C67" s="2"/>
      <c r="D67" s="2"/>
      <c r="E67" s="2"/>
      <c r="F67" s="98" t="str">
        <f>N13</f>
        <v>Ruta:</v>
      </c>
      <c r="G67" s="99">
        <f>O13</f>
        <v>7</v>
      </c>
      <c r="H67" s="3"/>
      <c r="I67" s="150" t="str">
        <f>_xlfn.CONCAT(F7,0,N65)</f>
        <v>1128010224701485.27</v>
      </c>
      <c r="J67" s="150"/>
      <c r="K67" s="150"/>
      <c r="L67" s="150"/>
      <c r="M67" s="150"/>
      <c r="N67" s="2"/>
      <c r="O67" s="2"/>
      <c r="P67" s="42"/>
      <c r="Q67" s="1"/>
    </row>
    <row r="68" spans="1:17" x14ac:dyDescent="0.3">
      <c r="A68" s="2"/>
      <c r="B68" s="52" t="str">
        <f>B25</f>
        <v xml:space="preserve">TARIFA:                                  </v>
      </c>
      <c r="C68" s="2"/>
      <c r="D68" s="2"/>
      <c r="E68" s="2"/>
      <c r="F68" s="79" t="str">
        <f>N14</f>
        <v>Itner:</v>
      </c>
      <c r="G68" s="99">
        <f>O14</f>
        <v>3</v>
      </c>
      <c r="H68" s="2"/>
      <c r="I68" s="150"/>
      <c r="J68" s="150"/>
      <c r="K68" s="150"/>
      <c r="L68" s="150"/>
      <c r="M68" s="150"/>
      <c r="N68" s="2"/>
      <c r="O68" s="2"/>
      <c r="P68" s="42"/>
      <c r="Q68" s="1"/>
    </row>
    <row r="69" spans="1:17" x14ac:dyDescent="0.3">
      <c r="A69" s="2"/>
      <c r="B69" s="52" t="str">
        <f>B26</f>
        <v>BTS1</v>
      </c>
      <c r="C69" s="2"/>
      <c r="D69" s="2"/>
      <c r="E69" s="2"/>
      <c r="F69" s="2"/>
      <c r="G69" s="2"/>
      <c r="H69" s="2"/>
      <c r="I69" s="150"/>
      <c r="J69" s="150"/>
      <c r="K69" s="150"/>
      <c r="L69" s="150"/>
      <c r="M69" s="150"/>
      <c r="N69" s="2"/>
      <c r="O69" s="2"/>
      <c r="P69" s="42"/>
      <c r="Q69" s="1"/>
    </row>
    <row r="70" spans="1:17" ht="15" thickBot="1" x14ac:dyDescent="0.35">
      <c r="A70" s="2"/>
      <c r="B70" s="43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2"/>
      <c r="Q70" s="1"/>
    </row>
    <row r="71" spans="1:17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</row>
    <row r="72" spans="1:1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3">
      <c r="A73" s="1"/>
    </row>
  </sheetData>
  <mergeCells count="28">
    <mergeCell ref="I67:M69"/>
    <mergeCell ref="G63:I63"/>
    <mergeCell ref="L65:M66"/>
    <mergeCell ref="N65:N66"/>
    <mergeCell ref="J63:L63"/>
    <mergeCell ref="J64:L64"/>
    <mergeCell ref="N16:O17"/>
    <mergeCell ref="J22:L22"/>
    <mergeCell ref="J20:L21"/>
    <mergeCell ref="J1:O3"/>
    <mergeCell ref="B1:E1"/>
    <mergeCell ref="C28:D28"/>
    <mergeCell ref="L30:M30"/>
    <mergeCell ref="L33:M33"/>
    <mergeCell ref="G24:L24"/>
    <mergeCell ref="J5:L5"/>
    <mergeCell ref="J7:L7"/>
    <mergeCell ref="C29:D29"/>
    <mergeCell ref="J30:K30"/>
    <mergeCell ref="J33:K33"/>
    <mergeCell ref="J31:M31"/>
    <mergeCell ref="K47:M48"/>
    <mergeCell ref="K49:M50"/>
    <mergeCell ref="K19:L19"/>
    <mergeCell ref="M20:O22"/>
    <mergeCell ref="J28:O28"/>
    <mergeCell ref="N47:N48"/>
    <mergeCell ref="N49:N50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Enmanuel Molina</dc:creator>
  <cp:lastModifiedBy>Enmanuel Molina</cp:lastModifiedBy>
  <cp:lastPrinted>2025-09-04T17:53:38Z</cp:lastPrinted>
  <dcterms:created xsi:type="dcterms:W3CDTF">2025-09-04T13:45:22Z</dcterms:created>
  <dcterms:modified xsi:type="dcterms:W3CDTF">2025-09-12T15:01:49Z</dcterms:modified>
</cp:coreProperties>
</file>